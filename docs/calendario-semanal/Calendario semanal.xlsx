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semanal" sheetId="1" state="visible" r:id="rId3"/>
    <sheet name="Notas" sheetId="2" state="visible" r:id="rId4"/>
  </sheets>
  <definedNames>
    <definedName function="false" hidden="false" localSheetId="0" name="_xlnm.Print_Titles" vbProcedure="false">'Calendario semanal'!$4:$4</definedName>
    <definedName function="false" hidden="true" localSheetId="0" name="_xlnm._FilterDatabase" vbProcedure="false">'Calendario semanal'!$A$4:$N$24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<sst xmlns="http://schemas.openxmlformats.org/spreadsheetml/2006/main" count="201" uniqueCount="128">
  <si>
    <t xml:space="preserve">Calendario semanal agosto–diciembre 2026 · TT 2026-B162 · APLICACIÓN MÓVIL CON INTELIGENCIA ARTIFICIAL Y GAMIFICACIÓN PARA REFORZAR CONOCIMIENTOS DEL IDIOMA INGLÉS EN NIVELES A1 Y A2</t>
  </si>
  <si>
    <t xml:space="preserve">Integrantes: Brenda Itzel Parrales Ramírez (Scrum Master / Lead Developer) y José Juan Arellano Juárez (Developer). Product Owner: M. en C. Nidia Asunción Cortez Duarte. Basado en el Cronograma final; semanas S1 = días 1–7, S2 = 8–14, S3 = 15–21, S4 = 22 a fin de mes.</t>
  </si>
  <si>
    <t xml:space="preserve">Sem.</t>
  </si>
  <si>
    <t xml:space="preserve">Periodo</t>
  </si>
  <si>
    <t xml:space="preserve">Mes</t>
  </si>
  <si>
    <t xml:space="preserve">Semana</t>
  </si>
  <si>
    <t xml:space="preserve">Inicio</t>
  </si>
  <si>
    <t xml:space="preserve">Fin</t>
  </si>
  <si>
    <t xml:space="preserve">Sprint</t>
  </si>
  <si>
    <t xml:space="preserve">Actividades del Cronograma — Brenda Itzel Parrales Ramírez</t>
  </si>
  <si>
    <t xml:space="preserve">Tareas de la semana — Brenda</t>
  </si>
  <si>
    <t xml:space="preserve">Actividades del Cronograma — José Juan Arellano Juárez</t>
  </si>
  <si>
    <t xml:space="preserve">Tareas de la semana — José Juan</t>
  </si>
  <si>
    <t xml:space="preserve">Entregable / evidencia</t>
  </si>
  <si>
    <t xml:space="preserve">Avance real (git)</t>
  </si>
  <si>
    <t xml:space="preserve">Estado</t>
  </si>
  <si>
    <t xml:space="preserve">2026-2</t>
  </si>
  <si>
    <t xml:space="preserve">Agosto</t>
  </si>
  <si>
    <t xml:space="preserve">S1</t>
  </si>
  <si>
    <t xml:space="preserve">• Creación del product backlog
• Reporte técnico TT-II</t>
  </si>
  <si>
    <t xml:space="preserve">• Organizar el product backlog por épicas: Acceso y cuenta, Chatbot con IA, Voz
• Ligar Historias de Usuario a RF/CU y escribir criterios de aceptación
• Abrir el capítulo 5 Desarrollo e Implementación en el reporte</t>
  </si>
  <si>
    <t xml:space="preserve">• Organizar las épicas Lecciones, Minijuegos, Progreso y logros, Notificaciones
• Ligar Historias de Usuario a RF/CU y escribir criterios de aceptación</t>
  </si>
  <si>
    <t xml:space="preserve">Product backlog por épicas</t>
  </si>
  <si>
    <t xml:space="preserve">S2</t>
  </si>
  <si>
    <t xml:space="preserve">• Creación del product backlog
• Creación del sprint backlog
• Diseño de la interfaz
• Reporte técnico TT-II</t>
  </si>
  <si>
    <t xml:space="preserve">• Priorizar el backlog con la Product Owner
• Seleccionar las HU del Sprint 3 y crear el tablero Kanban (Sin empezar / En desarrollo / Finalizado)
• Diseño: paleta de colores y logotipo (Ilustraciones 26–27)</t>
  </si>
  <si>
    <t xml:space="preserve">• Estimar las HU y repartir el trabajo del sprint
• Diseño: sistema visual (tipografía, botones, tarjetas, íconos)</t>
  </si>
  <si>
    <t xml:space="preserve">Backlog priorizado · Tablero Kanban · Paleta y logotipo</t>
  </si>
  <si>
    <t xml:space="preserve">S3</t>
  </si>
  <si>
    <t xml:space="preserve">• Creación del sprint backlog
• Diseño de la interfaz
• Reporte técnico TT-II</t>
  </si>
  <si>
    <t xml:space="preserve">• Desglosar las HU del sprint en tareas técnicas
• Diseño de pantallas: Iniciar sesión, Crear cuenta, Recuperar contraseña, Personalización (Ilustraciones 28–31)</t>
  </si>
  <si>
    <t xml:space="preserve">• Desglosar las HU del sprint en tareas técnicas
• Diseño de pantallas: Inicio, Progreso y logros, Minijuegos, Catálogo de lecciones, Lección (Ilustraciones 32–34, 37–39)</t>
  </si>
  <si>
    <t xml:space="preserve">Sprint backlog · Mockups Il. 28–34, 37–39</t>
  </si>
  <si>
    <t xml:space="preserve">S4</t>
  </si>
  <si>
    <t xml:space="preserve">• Diseño de la interfaz
• Interfaz y estructura básica
• Reporte técnico TT-II</t>
  </si>
  <si>
    <t xml:space="preserve">• Diseño de pantallas: Ajustes de perfil, Confirmar eliminación, Error de pronunciación, Notificaciones (Ilustraciones 35–36, 40–41)
• Crear el proyecto Android (Kotlin, MVVM, Hilt, Navigation Compose, Room)</t>
  </si>
  <si>
    <t xml:space="preserve">• Prototipo navegable con las 14 pantallas y revisión con la directora
• Crear el servidor de servicios (Vercel) y el proyecto de Firebase (Auth y Firestore)</t>
  </si>
  <si>
    <t xml:space="preserve">Sección 4.5 · Prototipo navegable · Esqueleto de la app y del servidor</t>
  </si>
  <si>
    <t xml:space="preserve">Arquitectura base de la app: 14-sep (Sep S2), 2 semanas después de lo planeado.</t>
  </si>
  <si>
    <t xml:space="preserve">Septiembre</t>
  </si>
  <si>
    <t xml:space="preserve">• Creación del product backlog
• Interfaz y estructura básica
• Reporte técnico TT-II</t>
  </si>
  <si>
    <t xml:space="preserve">• Refinar el product backlog (inicio de mes)
• Registro de cuenta e inicio de sesión con Firebase Auth (CU-01, CU-02, RN-01)
• Validación de contraseña y mensajes de error</t>
  </si>
  <si>
    <t xml:space="preserve">• Refinar el product backlog (inicio de mes)
• Tema de la app (colores, tipografía, formas) y componentes comunes
• Barra de navegación inferior y pantalla de Inicio</t>
  </si>
  <si>
    <t xml:space="preserve">Registro e inicio de sesión funcionando</t>
  </si>
  <si>
    <t xml:space="preserve">Firebase Auth (registro, login, validación): 20-sep (Sep S3).</t>
  </si>
  <si>
    <t xml:space="preserve">• Interfaz y estructura básica
• Reporte técnico TT-II</t>
  </si>
  <si>
    <t xml:space="preserve">• Recuperación de acceso por código de verificación (CU-03): envío por correo con Resend, vigencia e intentos
• Nivel inicial A1/A2 al registrarse (CU-04, RN-02)
• Documentar 5.1 Arquitectura base y módulos de registro y recuperación</t>
  </si>
  <si>
    <t xml:space="preserve">• Personalización: nombre de usuario y avatar (Ilustración 31)
• Pantalla de cuenta: datos del perfil, cerrar sesión, eliminar cuenta (CU-10, RN-14)</t>
  </si>
  <si>
    <t xml:space="preserve">Incremento: acceso, perfil y cuenta</t>
  </si>
  <si>
    <t xml:space="preserve">Recuperación de acceso: 25-sep (Sep S4). Cuenta: 29-sep. Eliminación de cuenta en servidor: 11-oct.</t>
  </si>
  <si>
    <t xml:space="preserve">• Integración de chatbot con IA
• Reporte técnico TT-II</t>
  </si>
  <si>
    <t xml:space="preserve">• Conectar el motor de IA generativa desde el servidor (RF-06)
• System prompt restringido a A1/A2 según el MCER (RN-03, riesgo R03)</t>
  </si>
  <si>
    <t xml:space="preserve">• Armar un banco de conversaciones de prueba por nivel para validar el prompt
• Revisar que el vocabulario de las respuestas no exceda A1/A2</t>
  </si>
  <si>
    <t xml:space="preserve">Chatbot respondiendo desde el servidor</t>
  </si>
  <si>
    <t xml:space="preserve">• Pantalla de chat (CU-05) con ChatViewModel e historial de la conversación
• Correcciones gramaticales inmediatas y efímeras (RF-09, RN-05)</t>
  </si>
  <si>
    <t xml:space="preserve">• Manejo de errores y sin conexión en el chat (RNF-10)
• Pruebas del chat contra el banco de conversaciones</t>
  </si>
  <si>
    <t xml:space="preserve">Incremento: chat con IA en texto</t>
  </si>
  <si>
    <t xml:space="preserve">Módulo de chat con IA (interfaz y lógica): 29-sep (Sep S4), a tiempo.</t>
  </si>
  <si>
    <t xml:space="preserve">Octubre</t>
  </si>
  <si>
    <t xml:space="preserve">• Creación del product backlog
• Integración de chatbot con IA
• Reporte técnico TT-II</t>
  </si>
  <si>
    <t xml:space="preserve">• Refinar el product backlog (inicio de mes)
• Pruebas unitarias del chat y ajustes del prompt
• Documentar el módulo de chat en el capítulo 5</t>
  </si>
  <si>
    <t xml:space="preserve">• Refinar el product backlog (inicio de mes)
• Revisión del chat con la directora (reunión quincenal)</t>
  </si>
  <si>
    <t xml:space="preserve">Chat con IA cerrado · Backlog refinado</t>
  </si>
  <si>
    <t xml:space="preserve">• Módulo de reconocimiento de voz
• Reporte técnico TT-II</t>
  </si>
  <si>
    <t xml:space="preserve">• Voz a texto en el chat (RF-07): botón de micrófono, permiso de micrófono y envío del texto reconocido
• Manejo de audio sin almacenarlo (RN-04, RNF-05)</t>
  </si>
  <si>
    <t xml:space="preserve">• Endpoint de token de Azure AI Speech en el servidor (la llave no vive en la app)
• Evaluación de pronunciación con Azure y respaldo con el reconocedor del teléfono</t>
  </si>
  <si>
    <t xml:space="preserve">Voz a texto en el chat</t>
  </si>
  <si>
    <t xml:space="preserve">Adelantado: token de Azure y evaluación de pronunciación hechos el 06-oct para Eco Vocal. Pendiente: micrófono en el chat.</t>
  </si>
  <si>
    <t xml:space="preserve">• Texto a voz de las respuestas del chatbot (RF-08)
• Respaldo en modo texto si el servicio de voz no responde a tiempo (riesgo R01)</t>
  </si>
  <si>
    <t xml:space="preserve">• Pantalla de error de pronunciación (Ilustración 40, RF-09)
• Medir la latencia de voz (RNF-03) y configurar Azure en producción</t>
  </si>
  <si>
    <t xml:space="preserve">Incremento: conversación por voz</t>
  </si>
  <si>
    <t xml:space="preserve">Pendiente: llaves AZURE_SPEECH_KEY / AZURE_SPEECH_REGION en Vercel.</t>
  </si>
  <si>
    <t xml:space="preserve">• Desarrollo de módulos de gramática y vocabulario
• Reporte técnico TT-II</t>
  </si>
  <si>
    <t xml:space="preserve">• Plan curricular A1 y A2 alineado al MCER (temas por nivel)
• Revisar los temas contra los descriptores del MCER</t>
  </si>
  <si>
    <t xml:space="preserve">• Estructura de una lección (introducción, vocabulario, gramática, diálogos, evaluación) y su esquema JSON
• API de lecciones en el servidor y pantallas de catálogo y lección (Ilustraciones 38–39)</t>
  </si>
  <si>
    <t xml:space="preserve">Plan curricular · Estructura de lección · Catálogo</t>
  </si>
  <si>
    <t xml:space="preserve">Adelantado: cliente, catálogo y pantalla de lección 26-sep; servidor de lecciones 30-sep.</t>
  </si>
  <si>
    <t xml:space="preserve">Noviembre</t>
  </si>
  <si>
    <t xml:space="preserve">• Creación del product backlog
• Desarrollo de módulos de gramática y vocabulario
• Reporte técnico TT-II</t>
  </si>
  <si>
    <t xml:space="preserve">• Refinar el product backlog (inicio de mes)
• Redactar el contenido de las lecciones A1
• Revisión humana del contenido (guía de autoría)</t>
  </si>
  <si>
    <t xml:space="preserve">• Refinar el product backlog (inicio de mes)
• Redactar el contenido de las lecciones A2
• Validación automática del contenido y caché fuera de línea (RN-11)</t>
  </si>
  <si>
    <t xml:space="preserve">Lecciones A1 y A2 publicadas</t>
  </si>
  <si>
    <t xml:space="preserve">Adelantado: 24 lecciones (12 A1 y 12 A2) y caché offline (29-sep).</t>
  </si>
  <si>
    <t xml:space="preserve">• Creación del product backlog
• Ejercicios de gramática y vocabulario
• Reporte técnico TT-II</t>
  </si>
  <si>
    <t xml:space="preserve">• Refinar el product backlog
• Evaluaciones cortas al final de cada lección (RF-12): tipos de ejercicio y calificación
• Regla de aprobación con 70 % y desbloqueo (RN-06)</t>
  </si>
  <si>
    <t xml:space="preserve">• Ejercicios de gramática y vocabulario
• Reporte técnico TT-II</t>
  </si>
  <si>
    <t xml:space="preserve">• XP solo en la primera aprobación y registro de errores por concepto
• Envío de intentos al servidor con reintento si no hay conexión</t>
  </si>
  <si>
    <t xml:space="preserve">Evaluaciones por lección</t>
  </si>
  <si>
    <t xml:space="preserve">Adelantado: calificación local y outbox de intentos (29-sep).</t>
  </si>
  <si>
    <t xml:space="preserve">• Pruebas del flujo completo de lección: aprobar, reprobar, desbloquear y XP
• Documentar el módulo de lecciones en el capítulo 5</t>
  </si>
  <si>
    <t xml:space="preserve">• Repaso con repetición espaciada SM-2 (RF-13, RN-07): sesión de repaso en el servidor y pantalla de repaso</t>
  </si>
  <si>
    <t xml:space="preserve">Incremento: lecciones con evaluación y repaso SRS</t>
  </si>
  <si>
    <t xml:space="preserve">Adelantado: repaso SRS con SM-2 (29-sep).</t>
  </si>
  <si>
    <t xml:space="preserve">• Desarrollo de mini-juegos
• Pruebas y mejoras
• Integración de todos los módulos
• Reporte técnico TT-II</t>
  </si>
  <si>
    <t xml:space="preserve">• Minijuegos Misión Situacional y Eco Vocal (RF-11, CU-07)
• Pruebas y mejoras de chat y voz
• Integración: notificaciones de recordatorio configurables (RF-15, CU-09, RN-15)</t>
  </si>
  <si>
    <t xml:space="preserve">• Catálogo de minijuegos (Ilustración 37) y motor común (rondas, XP, racha)
• Minijuegos Orden Maestro y Ráfaga de Palabras
• Integración: progreso y logros (CU-08, RF-05, RF-14, RN-08, RN-09)</t>
  </si>
  <si>
    <t xml:space="preserve">Cuatro minijuegos · Progreso · Notificaciones</t>
  </si>
  <si>
    <t xml:space="preserve">Adelantado: los 4 minijuegos (06-oct), progreso e insignias (11-oct), notificaciones y las 14 pantallas del diseño (11-oct).</t>
  </si>
  <si>
    <t xml:space="preserve">Diciembre</t>
  </si>
  <si>
    <t xml:space="preserve">• Creación del product backlog
• Desarrollo de mini-juegos
• Pruebas y mejoras
• Integración de todos los módulos
• Reporte técnico TT-II</t>
  </si>
  <si>
    <t xml:space="preserve">• Refinar el product backlog (último del proyecto)
• Pruebas de los minijuegos en dispositivo real
• Integración: flujo completo registro → nivel → chat → lección</t>
  </si>
  <si>
    <t xml:space="preserve">• Sincronizar resultados de partidas con el servidor (XP, racha y SRS)
• Racha unificada entre lecciones, minijuegos y chat
• Documentar minijuegos y progreso en el capítulo 5</t>
  </si>
  <si>
    <t xml:space="preserve">Incremento: minijuegos y gamificación · Cierre del Sprint 3</t>
  </si>
  <si>
    <t xml:space="preserve">• Integración de todos los módulos
• Realización de pruebas del sistema
• Corrección de pruebas
• Segunda evaluación de TT-II
• Reporte técnico TT-II</t>
  </si>
  <si>
    <t xml:space="preserve">• Cerrar la integración y desplegar el servidor en producción
• Pruebas del sistema por caso de uso (CU-01 a CU-05, CU-10)
• Preparar la presentación del TT-II</t>
  </si>
  <si>
    <t xml:space="preserve">• Pruebas del sistema por caso de uso (CU-06 a CU-09) y de RNF (latencia, offline, Android 8.0+)
• Corregir los defectos encontrados</t>
  </si>
  <si>
    <t xml:space="preserve">Sistema integrado · Reporte de pruebas</t>
  </si>
  <si>
    <t xml:space="preserve">• Realización de pruebas del sistema
• Corrección de pruebas
• Segunda evaluación de TT-II
• Retroalimentación del jurado
• Reporte técnico TT-II</t>
  </si>
  <si>
    <t xml:space="preserve">• Corregir los defectos pendientes y repetir las pruebas
• Presentar el TT-II ante el jurado y registrar observaciones</t>
  </si>
  <si>
    <t xml:space="preserve">Presentación TT-II · Versión estable de la app</t>
  </si>
  <si>
    <t xml:space="preserve">• Pruebas piloto con usuarios reales
• Segunda evaluación de TT-II
• Retroalimentación del jurado
• Reporte técnico TT-II</t>
  </si>
  <si>
    <t xml:space="preserve">• Prueba piloto con estudiantes (A1/A2): instalar la app y aplicar el cuestionario de uso
• Atender las observaciones del jurado</t>
  </si>
  <si>
    <t xml:space="preserve">• Analizar los resultados de la prueba piloto
• Cerrar el reporte técnico TT-II con resultados y conclusiones</t>
  </si>
  <si>
    <t xml:space="preserve">Resultados de la prueba piloto · Reporte TT-II final</t>
  </si>
  <si>
    <t xml:space="preserve">Cómo leer el calendario</t>
  </si>
  <si>
    <t xml:space="preserve">Cada renglón es una semana del Cronograma final, de agosto a diciembre de 2026 (periodo 2026-2, 20 semanas).</t>
  </si>
  <si>
    <t xml:space="preserve">“Actividades del Cronograma” repite el renglón del Cronograma que cubre esa semana; “Tareas de la semana” lo desglosa en trabajo concreto.</t>
  </si>
  <si>
    <t xml:space="preserve">El reporte técnico TT-II corre en paralelo de agosto a diciembre todas las semanas: cada semana se documenta lo que se hizo.</t>
  </si>
  <si>
    <t xml:space="preserve">La columna Estado se calcula con la fecha del equipo (HOY): Concluida, En curso o Pendiente.</t>
  </si>
  <si>
    <t xml:space="preserve">La columna Avance real registra lo ya desarrollado según el historial del repositorio. Varios módulos se adelantaron; la planeación sigue apegada al Cronograma y esas semanas se usarán para pruebas, ajustes y documentación del módulo correspondiente.</t>
  </si>
  <si>
    <t xml:space="preserve">Diferencia entre los dos renglones del Cronograma final: Brenda tiene la marca de product backlog de noviembre en la S2 y José Juan en la S1. El calendario respeta esas semanas.</t>
  </si>
  <si>
    <t xml:space="preserve">Colores de Sprint</t>
  </si>
  <si>
    <t xml:space="preserve">Sprint 3 — Desarrollo (ago–dic)</t>
  </si>
  <si>
    <t xml:space="preserve">Sprint 4 — Integración, pruebas y evaluación (nov–dic)</t>
  </si>
  <si>
    <t xml:space="preserve">Reuniones de seguimiento (sección 3.1.3)</t>
  </si>
  <si>
    <t xml:space="preserve">Quincenal: revisión de avances con la directora (Product Owner).</t>
  </si>
  <si>
    <t xml:space="preserve">Semanal: seguimiento de metodología y tablero Kanban (Sin empezar / En desarrollo / Finalizado).</t>
  </si>
  <si>
    <t xml:space="preserve">Este archivo se genera con docs/calendario-semanal/generar.py; para cambiarlo, edita el script y vuelve a correrlo.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</si>
</sst>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D966"/>
        </patternFill>
      </fill>
    </dxf>
    <dxf>
      <font>
        <name val="Arial"/>
        <charset val="1"/>
        <family val="0"/>
      </font>
      <fill>
        <patternFill>
          <bgColor rgb="FFC6EFCE"/>
        </patternFill>
      </fill>
    </dxf>
    <dxf>
      <font>
        <name val="Arial"/>
        <charset val="1"/>
        <family val="0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7"/>
    <col collapsed="false" customWidth="true" hidden="false" outlineLevel="0" max="8" min="8" style="0" width="30"/>
    <col collapsed="false" customWidth="true" hidden="false" outlineLevel="0" max="9" min="9" style="0" width="58"/>
    <col collapsed="false" customWidth="true" hidden="false" outlineLevel="0" max="10" min="10" style="0" width="30"/>
    <col collapsed="false" customWidth="true" hidden="false" outlineLevel="0" max="11" min="11" style="0" width="58"/>
    <col collapsed="false" customWidth="true" hidden="false" outlineLevel="0" max="12" min="12" style="0" width="32"/>
    <col collapsed="false" customWidth="true" hidden="false" outlineLevel="0" max="13" min="13" style="0" width="38"/>
    <col collapsed="false" customWidth="true" hidden="false" outlineLevel="0" max="14" min="14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87" hidden="false" customHeight="true" outlineLevel="0" collapsed="false">
      <c r="A5" s="4" t="n">
        <v>1</v>
      </c>
      <c r="B5" s="4" t="s">
        <v>16</v>
      </c>
      <c r="C5" s="4" t="s">
        <v>17</v>
      </c>
      <c r="D5" s="4" t="s">
        <v>18</v>
      </c>
      <c r="E5" s="5" t="n">
        <v>46235</v>
      </c>
      <c r="F5" s="5" t="n">
        <v>46241</v>
      </c>
      <c r="G5" s="4" t="n">
        <v>3</v>
      </c>
      <c r="H5" s="6" t="s">
        <v>19</v>
      </c>
      <c r="I5" s="7" t="s">
        <v>20</v>
      </c>
      <c r="J5" s="6" t="s">
        <v>19</v>
      </c>
      <c r="K5" s="7" t="s">
        <v>21</v>
      </c>
      <c r="L5" s="7" t="s">
        <v>22</v>
      </c>
      <c r="M5" s="7"/>
      <c r="N5" s="8" t="str">
        <f aca="true">IF(TODAY()&gt;F5,"Concluida",IF(TODAY()&gt;=E5,"En curso","Pendiente"))</f>
        <v>Concluida</v>
      </c>
    </row>
    <row r="6" customFormat="false" ht="87" hidden="false" customHeight="true" outlineLevel="0" collapsed="false">
      <c r="A6" s="4" t="n">
        <v>2</v>
      </c>
      <c r="B6" s="4" t="s">
        <v>16</v>
      </c>
      <c r="C6" s="4" t="s">
        <v>17</v>
      </c>
      <c r="D6" s="4" t="s">
        <v>23</v>
      </c>
      <c r="E6" s="5" t="n">
        <v>46242</v>
      </c>
      <c r="F6" s="5" t="n">
        <v>46248</v>
      </c>
      <c r="G6" s="4" t="n">
        <v>3</v>
      </c>
      <c r="H6" s="6" t="s">
        <v>24</v>
      </c>
      <c r="I6" s="7" t="s">
        <v>25</v>
      </c>
      <c r="J6" s="6" t="s">
        <v>24</v>
      </c>
      <c r="K6" s="7" t="s">
        <v>26</v>
      </c>
      <c r="L6" s="7" t="s">
        <v>27</v>
      </c>
      <c r="M6" s="7"/>
      <c r="N6" s="8" t="str">
        <f aca="true">IF(TODAY()&gt;F6,"Concluida",IF(TODAY()&gt;=E6,"En curso","Pendiente"))</f>
        <v>Concluida</v>
      </c>
    </row>
    <row r="7" customFormat="false" ht="62.25" hidden="false" customHeight="true" outlineLevel="0" collapsed="false">
      <c r="A7" s="4" t="n">
        <v>3</v>
      </c>
      <c r="B7" s="4" t="s">
        <v>16</v>
      </c>
      <c r="C7" s="4" t="s">
        <v>17</v>
      </c>
      <c r="D7" s="4" t="s">
        <v>28</v>
      </c>
      <c r="E7" s="5" t="n">
        <v>46249</v>
      </c>
      <c r="F7" s="5" t="n">
        <v>46255</v>
      </c>
      <c r="G7" s="4" t="n">
        <v>3</v>
      </c>
      <c r="H7" s="6" t="s">
        <v>29</v>
      </c>
      <c r="I7" s="7" t="s">
        <v>30</v>
      </c>
      <c r="J7" s="6" t="s">
        <v>29</v>
      </c>
      <c r="K7" s="7" t="s">
        <v>31</v>
      </c>
      <c r="L7" s="7" t="s">
        <v>32</v>
      </c>
      <c r="M7" s="7"/>
      <c r="N7" s="8" t="str">
        <f aca="true">IF(TODAY()&gt;F7,"Concluida",IF(TODAY()&gt;=E7,"En curso","Pendiente"))</f>
        <v>Concluida</v>
      </c>
    </row>
    <row r="8" customFormat="false" ht="62.25" hidden="false" customHeight="true" outlineLevel="0" collapsed="false">
      <c r="A8" s="4" t="n">
        <v>4</v>
      </c>
      <c r="B8" s="4" t="s">
        <v>16</v>
      </c>
      <c r="C8" s="4" t="s">
        <v>17</v>
      </c>
      <c r="D8" s="4" t="s">
        <v>33</v>
      </c>
      <c r="E8" s="5" t="n">
        <v>46256</v>
      </c>
      <c r="F8" s="5" t="n">
        <v>46265</v>
      </c>
      <c r="G8" s="4" t="n">
        <v>3</v>
      </c>
      <c r="H8" s="6" t="s">
        <v>34</v>
      </c>
      <c r="I8" s="7" t="s">
        <v>35</v>
      </c>
      <c r="J8" s="6" t="s">
        <v>34</v>
      </c>
      <c r="K8" s="7" t="s">
        <v>36</v>
      </c>
      <c r="L8" s="7" t="s">
        <v>37</v>
      </c>
      <c r="M8" s="7" t="s">
        <v>38</v>
      </c>
      <c r="N8" s="8" t="str">
        <f aca="true">IF(TODAY()&gt;F8,"Concluida",IF(TODAY()&gt;=E8,"En curso","Pendiente"))</f>
        <v>Concluida</v>
      </c>
    </row>
    <row r="9" customFormat="false" ht="87" hidden="false" customHeight="true" outlineLevel="0" collapsed="false">
      <c r="A9" s="4" t="n">
        <v>5</v>
      </c>
      <c r="B9" s="4" t="s">
        <v>16</v>
      </c>
      <c r="C9" s="4" t="s">
        <v>39</v>
      </c>
      <c r="D9" s="4" t="s">
        <v>18</v>
      </c>
      <c r="E9" s="5" t="n">
        <v>46266</v>
      </c>
      <c r="F9" s="5" t="n">
        <v>46272</v>
      </c>
      <c r="G9" s="4" t="n">
        <v>3</v>
      </c>
      <c r="H9" s="6" t="s">
        <v>40</v>
      </c>
      <c r="I9" s="7" t="s">
        <v>41</v>
      </c>
      <c r="J9" s="6" t="s">
        <v>40</v>
      </c>
      <c r="K9" s="7" t="s">
        <v>42</v>
      </c>
      <c r="L9" s="7" t="s">
        <v>43</v>
      </c>
      <c r="M9" s="7" t="s">
        <v>44</v>
      </c>
      <c r="N9" s="8" t="str">
        <f aca="true">IF(TODAY()&gt;F9,"Concluida",IF(TODAY()&gt;=E9,"En curso","Pendiente"))</f>
        <v>Concluida</v>
      </c>
    </row>
    <row r="10" customFormat="false" ht="87" hidden="false" customHeight="true" outlineLevel="0" collapsed="false">
      <c r="A10" s="4" t="n">
        <v>6</v>
      </c>
      <c r="B10" s="4" t="s">
        <v>16</v>
      </c>
      <c r="C10" s="4" t="s">
        <v>39</v>
      </c>
      <c r="D10" s="4" t="s">
        <v>23</v>
      </c>
      <c r="E10" s="5" t="n">
        <v>46273</v>
      </c>
      <c r="F10" s="5" t="n">
        <v>46279</v>
      </c>
      <c r="G10" s="4" t="n">
        <v>3</v>
      </c>
      <c r="H10" s="6" t="s">
        <v>45</v>
      </c>
      <c r="I10" s="7" t="s">
        <v>46</v>
      </c>
      <c r="J10" s="6" t="s">
        <v>45</v>
      </c>
      <c r="K10" s="7" t="s">
        <v>47</v>
      </c>
      <c r="L10" s="7" t="s">
        <v>48</v>
      </c>
      <c r="M10" s="7" t="s">
        <v>49</v>
      </c>
      <c r="N10" s="8" t="str">
        <f aca="true">IF(TODAY()&gt;F10,"Concluida",IF(TODAY()&gt;=E10,"En curso","Pendiente"))</f>
        <v>Concluida</v>
      </c>
    </row>
    <row r="11" customFormat="false" ht="62.25" hidden="false" customHeight="true" outlineLevel="0" collapsed="false">
      <c r="A11" s="4" t="n">
        <v>7</v>
      </c>
      <c r="B11" s="4" t="s">
        <v>16</v>
      </c>
      <c r="C11" s="4" t="s">
        <v>39</v>
      </c>
      <c r="D11" s="4" t="s">
        <v>28</v>
      </c>
      <c r="E11" s="5" t="n">
        <v>46280</v>
      </c>
      <c r="F11" s="5" t="n">
        <v>46286</v>
      </c>
      <c r="G11" s="4" t="n">
        <v>3</v>
      </c>
      <c r="H11" s="6" t="s">
        <v>50</v>
      </c>
      <c r="I11" s="7" t="s">
        <v>51</v>
      </c>
      <c r="J11" s="6" t="s">
        <v>50</v>
      </c>
      <c r="K11" s="7" t="s">
        <v>52</v>
      </c>
      <c r="L11" s="7" t="s">
        <v>53</v>
      </c>
      <c r="M11" s="7"/>
      <c r="N11" s="8" t="str">
        <f aca="true">IF(TODAY()&gt;F11,"Concluida",IF(TODAY()&gt;=E11,"En curso","Pendiente"))</f>
        <v>Concluida</v>
      </c>
    </row>
    <row r="12" customFormat="false" ht="62.25" hidden="false" customHeight="true" outlineLevel="0" collapsed="false">
      <c r="A12" s="4" t="n">
        <v>8</v>
      </c>
      <c r="B12" s="4" t="s">
        <v>16</v>
      </c>
      <c r="C12" s="4" t="s">
        <v>39</v>
      </c>
      <c r="D12" s="4" t="s">
        <v>33</v>
      </c>
      <c r="E12" s="5" t="n">
        <v>46287</v>
      </c>
      <c r="F12" s="5" t="n">
        <v>46295</v>
      </c>
      <c r="G12" s="4" t="n">
        <v>3</v>
      </c>
      <c r="H12" s="6" t="s">
        <v>50</v>
      </c>
      <c r="I12" s="7" t="s">
        <v>54</v>
      </c>
      <c r="J12" s="6" t="s">
        <v>50</v>
      </c>
      <c r="K12" s="7" t="s">
        <v>55</v>
      </c>
      <c r="L12" s="7" t="s">
        <v>56</v>
      </c>
      <c r="M12" s="7" t="s">
        <v>57</v>
      </c>
      <c r="N12" s="8" t="str">
        <f aca="true">IF(TODAY()&gt;F12,"Concluida",IF(TODAY()&gt;=E12,"En curso","Pendiente"))</f>
        <v>Concluida</v>
      </c>
    </row>
    <row r="13" customFormat="false" ht="87" hidden="false" customHeight="true" outlineLevel="0" collapsed="false">
      <c r="A13" s="4" t="n">
        <v>9</v>
      </c>
      <c r="B13" s="4" t="s">
        <v>16</v>
      </c>
      <c r="C13" s="4" t="s">
        <v>58</v>
      </c>
      <c r="D13" s="4" t="s">
        <v>18</v>
      </c>
      <c r="E13" s="5" t="n">
        <v>46296</v>
      </c>
      <c r="F13" s="5" t="n">
        <v>46302</v>
      </c>
      <c r="G13" s="4" t="n">
        <v>3</v>
      </c>
      <c r="H13" s="6" t="s">
        <v>59</v>
      </c>
      <c r="I13" s="7" t="s">
        <v>60</v>
      </c>
      <c r="J13" s="6" t="s">
        <v>59</v>
      </c>
      <c r="K13" s="7" t="s">
        <v>61</v>
      </c>
      <c r="L13" s="7" t="s">
        <v>62</v>
      </c>
      <c r="M13" s="7"/>
      <c r="N13" s="8" t="str">
        <f aca="true">IF(TODAY()&gt;F13,"Concluida",IF(TODAY()&gt;=E13,"En curso","Pendiente"))</f>
        <v>Concluida</v>
      </c>
    </row>
    <row r="14" customFormat="false" ht="62.25" hidden="false" customHeight="true" outlineLevel="0" collapsed="false">
      <c r="A14" s="4" t="n">
        <v>10</v>
      </c>
      <c r="B14" s="4" t="s">
        <v>16</v>
      </c>
      <c r="C14" s="4" t="s">
        <v>58</v>
      </c>
      <c r="D14" s="4" t="s">
        <v>23</v>
      </c>
      <c r="E14" s="5" t="n">
        <v>46303</v>
      </c>
      <c r="F14" s="5" t="n">
        <v>46309</v>
      </c>
      <c r="G14" s="4" t="n">
        <v>3</v>
      </c>
      <c r="H14" s="6" t="s">
        <v>63</v>
      </c>
      <c r="I14" s="7" t="s">
        <v>64</v>
      </c>
      <c r="J14" s="6" t="s">
        <v>63</v>
      </c>
      <c r="K14" s="7" t="s">
        <v>65</v>
      </c>
      <c r="L14" s="7" t="s">
        <v>66</v>
      </c>
      <c r="M14" s="7" t="s">
        <v>67</v>
      </c>
      <c r="N14" s="8" t="str">
        <f aca="true">IF(TODAY()&gt;F14,"Concluida",IF(TODAY()&gt;=E14,"En curso","Pendiente"))</f>
        <v>En curso</v>
      </c>
    </row>
    <row r="15" customFormat="false" ht="62.25" hidden="false" customHeight="true" outlineLevel="0" collapsed="false">
      <c r="A15" s="4" t="n">
        <v>11</v>
      </c>
      <c r="B15" s="4" t="s">
        <v>16</v>
      </c>
      <c r="C15" s="4" t="s">
        <v>58</v>
      </c>
      <c r="D15" s="4" t="s">
        <v>28</v>
      </c>
      <c r="E15" s="5" t="n">
        <v>46310</v>
      </c>
      <c r="F15" s="5" t="n">
        <v>46316</v>
      </c>
      <c r="G15" s="4" t="n">
        <v>3</v>
      </c>
      <c r="H15" s="6" t="s">
        <v>63</v>
      </c>
      <c r="I15" s="7" t="s">
        <v>68</v>
      </c>
      <c r="J15" s="6" t="s">
        <v>63</v>
      </c>
      <c r="K15" s="7" t="s">
        <v>69</v>
      </c>
      <c r="L15" s="7" t="s">
        <v>70</v>
      </c>
      <c r="M15" s="7" t="s">
        <v>71</v>
      </c>
      <c r="N15" s="8" t="str">
        <f aca="true">IF(TODAY()&gt;F15,"Concluida",IF(TODAY()&gt;=E15,"En curso","Pendiente"))</f>
        <v>Pendiente</v>
      </c>
    </row>
    <row r="16" customFormat="false" ht="62.25" hidden="false" customHeight="true" outlineLevel="0" collapsed="false">
      <c r="A16" s="4" t="n">
        <v>12</v>
      </c>
      <c r="B16" s="4" t="s">
        <v>16</v>
      </c>
      <c r="C16" s="4" t="s">
        <v>58</v>
      </c>
      <c r="D16" s="4" t="s">
        <v>33</v>
      </c>
      <c r="E16" s="5" t="n">
        <v>46317</v>
      </c>
      <c r="F16" s="5" t="n">
        <v>46326</v>
      </c>
      <c r="G16" s="4" t="n">
        <v>3</v>
      </c>
      <c r="H16" s="6" t="s">
        <v>72</v>
      </c>
      <c r="I16" s="7" t="s">
        <v>73</v>
      </c>
      <c r="J16" s="6" t="s">
        <v>72</v>
      </c>
      <c r="K16" s="7" t="s">
        <v>74</v>
      </c>
      <c r="L16" s="7" t="s">
        <v>75</v>
      </c>
      <c r="M16" s="7" t="s">
        <v>76</v>
      </c>
      <c r="N16" s="8" t="str">
        <f aca="true">IF(TODAY()&gt;F16,"Concluida",IF(TODAY()&gt;=E16,"En curso","Pendiente"))</f>
        <v>Pendiente</v>
      </c>
    </row>
    <row r="17" customFormat="false" ht="87" hidden="false" customHeight="true" outlineLevel="0" collapsed="false">
      <c r="A17" s="4" t="n">
        <v>13</v>
      </c>
      <c r="B17" s="4" t="s">
        <v>16</v>
      </c>
      <c r="C17" s="4" t="s">
        <v>77</v>
      </c>
      <c r="D17" s="4" t="s">
        <v>18</v>
      </c>
      <c r="E17" s="5" t="n">
        <v>46327</v>
      </c>
      <c r="F17" s="5" t="n">
        <v>46333</v>
      </c>
      <c r="G17" s="4" t="n">
        <v>3</v>
      </c>
      <c r="H17" s="6" t="s">
        <v>78</v>
      </c>
      <c r="I17" s="7" t="s">
        <v>79</v>
      </c>
      <c r="J17" s="6" t="s">
        <v>78</v>
      </c>
      <c r="K17" s="7" t="s">
        <v>80</v>
      </c>
      <c r="L17" s="7" t="s">
        <v>81</v>
      </c>
      <c r="M17" s="7" t="s">
        <v>82</v>
      </c>
      <c r="N17" s="8" t="str">
        <f aca="true">IF(TODAY()&gt;F17,"Concluida",IF(TODAY()&gt;=E17,"En curso","Pendiente"))</f>
        <v>Pendiente</v>
      </c>
    </row>
    <row r="18" customFormat="false" ht="87" hidden="false" customHeight="true" outlineLevel="0" collapsed="false">
      <c r="A18" s="4" t="n">
        <v>14</v>
      </c>
      <c r="B18" s="4" t="s">
        <v>16</v>
      </c>
      <c r="C18" s="4" t="s">
        <v>77</v>
      </c>
      <c r="D18" s="4" t="s">
        <v>23</v>
      </c>
      <c r="E18" s="5" t="n">
        <v>46334</v>
      </c>
      <c r="F18" s="5" t="n">
        <v>46340</v>
      </c>
      <c r="G18" s="4" t="n">
        <v>3</v>
      </c>
      <c r="H18" s="6" t="s">
        <v>83</v>
      </c>
      <c r="I18" s="7" t="s">
        <v>84</v>
      </c>
      <c r="J18" s="6" t="s">
        <v>85</v>
      </c>
      <c r="K18" s="7" t="s">
        <v>86</v>
      </c>
      <c r="L18" s="7" t="s">
        <v>87</v>
      </c>
      <c r="M18" s="7" t="s">
        <v>88</v>
      </c>
      <c r="N18" s="8" t="str">
        <f aca="true">IF(TODAY()&gt;F18,"Concluida",IF(TODAY()&gt;=E18,"En curso","Pendiente"))</f>
        <v>Pendiente</v>
      </c>
    </row>
    <row r="19" customFormat="false" ht="62.25" hidden="false" customHeight="true" outlineLevel="0" collapsed="false">
      <c r="A19" s="4" t="n">
        <v>15</v>
      </c>
      <c r="B19" s="4" t="s">
        <v>16</v>
      </c>
      <c r="C19" s="4" t="s">
        <v>77</v>
      </c>
      <c r="D19" s="4" t="s">
        <v>28</v>
      </c>
      <c r="E19" s="5" t="n">
        <v>46341</v>
      </c>
      <c r="F19" s="5" t="n">
        <v>46347</v>
      </c>
      <c r="G19" s="4" t="n">
        <v>3</v>
      </c>
      <c r="H19" s="6" t="s">
        <v>85</v>
      </c>
      <c r="I19" s="7" t="s">
        <v>89</v>
      </c>
      <c r="J19" s="6" t="s">
        <v>85</v>
      </c>
      <c r="K19" s="7" t="s">
        <v>90</v>
      </c>
      <c r="L19" s="7" t="s">
        <v>91</v>
      </c>
      <c r="M19" s="7" t="s">
        <v>92</v>
      </c>
      <c r="N19" s="8" t="str">
        <f aca="true">IF(TODAY()&gt;F19,"Concluida",IF(TODAY()&gt;=E19,"En curso","Pendiente"))</f>
        <v>Pendiente</v>
      </c>
    </row>
    <row r="20" customFormat="false" ht="87" hidden="false" customHeight="true" outlineLevel="0" collapsed="false">
      <c r="A20" s="4" t="n">
        <v>16</v>
      </c>
      <c r="B20" s="4" t="s">
        <v>16</v>
      </c>
      <c r="C20" s="4" t="s">
        <v>77</v>
      </c>
      <c r="D20" s="4" t="s">
        <v>33</v>
      </c>
      <c r="E20" s="5" t="n">
        <v>46348</v>
      </c>
      <c r="F20" s="5" t="n">
        <v>46356</v>
      </c>
      <c r="G20" s="4" t="n">
        <v>3</v>
      </c>
      <c r="H20" s="6" t="s">
        <v>93</v>
      </c>
      <c r="I20" s="7" t="s">
        <v>94</v>
      </c>
      <c r="J20" s="6" t="s">
        <v>93</v>
      </c>
      <c r="K20" s="7" t="s">
        <v>95</v>
      </c>
      <c r="L20" s="7" t="s">
        <v>96</v>
      </c>
      <c r="M20" s="7" t="s">
        <v>97</v>
      </c>
      <c r="N20" s="8" t="str">
        <f aca="true">IF(TODAY()&gt;F20,"Concluida",IF(TODAY()&gt;=E20,"En curso","Pendiente"))</f>
        <v>Pendiente</v>
      </c>
    </row>
    <row r="21" customFormat="false" ht="87" hidden="false" customHeight="true" outlineLevel="0" collapsed="false">
      <c r="A21" s="4" t="n">
        <v>17</v>
      </c>
      <c r="B21" s="4" t="s">
        <v>16</v>
      </c>
      <c r="C21" s="4" t="s">
        <v>98</v>
      </c>
      <c r="D21" s="4" t="s">
        <v>18</v>
      </c>
      <c r="E21" s="5" t="n">
        <v>46357</v>
      </c>
      <c r="F21" s="5" t="n">
        <v>46363</v>
      </c>
      <c r="G21" s="4" t="n">
        <v>3</v>
      </c>
      <c r="H21" s="6" t="s">
        <v>99</v>
      </c>
      <c r="I21" s="7" t="s">
        <v>100</v>
      </c>
      <c r="J21" s="6" t="s">
        <v>93</v>
      </c>
      <c r="K21" s="7" t="s">
        <v>101</v>
      </c>
      <c r="L21" s="7" t="s">
        <v>102</v>
      </c>
      <c r="M21" s="7"/>
      <c r="N21" s="8" t="str">
        <f aca="true">IF(TODAY()&gt;F21,"Concluida",IF(TODAY()&gt;=E21,"En curso","Pendiente"))</f>
        <v>Pendiente</v>
      </c>
    </row>
    <row r="22" customFormat="false" ht="87" hidden="false" customHeight="true" outlineLevel="0" collapsed="false">
      <c r="A22" s="9" t="n">
        <v>18</v>
      </c>
      <c r="B22" s="9" t="s">
        <v>16</v>
      </c>
      <c r="C22" s="9" t="s">
        <v>98</v>
      </c>
      <c r="D22" s="9" t="s">
        <v>23</v>
      </c>
      <c r="E22" s="10" t="n">
        <v>46364</v>
      </c>
      <c r="F22" s="10" t="n">
        <v>46370</v>
      </c>
      <c r="G22" s="9" t="n">
        <v>4</v>
      </c>
      <c r="H22" s="6" t="s">
        <v>103</v>
      </c>
      <c r="I22" s="7" t="s">
        <v>104</v>
      </c>
      <c r="J22" s="6" t="s">
        <v>103</v>
      </c>
      <c r="K22" s="7" t="s">
        <v>105</v>
      </c>
      <c r="L22" s="7" t="s">
        <v>106</v>
      </c>
      <c r="M22" s="7"/>
      <c r="N22" s="8" t="str">
        <f aca="true">IF(TODAY()&gt;F22,"Concluida",IF(TODAY()&gt;=E22,"En curso","Pendiente"))</f>
        <v>Pendiente</v>
      </c>
    </row>
    <row r="23" customFormat="false" ht="62.25" hidden="false" customHeight="true" outlineLevel="0" collapsed="false">
      <c r="A23" s="9" t="n">
        <v>19</v>
      </c>
      <c r="B23" s="9" t="s">
        <v>16</v>
      </c>
      <c r="C23" s="9" t="s">
        <v>98</v>
      </c>
      <c r="D23" s="9" t="s">
        <v>28</v>
      </c>
      <c r="E23" s="10" t="n">
        <v>46371</v>
      </c>
      <c r="F23" s="10" t="n">
        <v>46377</v>
      </c>
      <c r="G23" s="9" t="n">
        <v>4</v>
      </c>
      <c r="H23" s="6" t="s">
        <v>107</v>
      </c>
      <c r="I23" s="7" t="s">
        <v>108</v>
      </c>
      <c r="J23" s="6" t="s">
        <v>107</v>
      </c>
      <c r="K23" s="7" t="s">
        <v>108</v>
      </c>
      <c r="L23" s="7" t="s">
        <v>109</v>
      </c>
      <c r="M23" s="7"/>
      <c r="N23" s="8" t="str">
        <f aca="true">IF(TODAY()&gt;F23,"Concluida",IF(TODAY()&gt;=E23,"En curso","Pendiente"))</f>
        <v>Pendiente</v>
      </c>
    </row>
    <row r="24" customFormat="false" ht="62.25" hidden="false" customHeight="true" outlineLevel="0" collapsed="false">
      <c r="A24" s="9" t="n">
        <v>20</v>
      </c>
      <c r="B24" s="9" t="s">
        <v>16</v>
      </c>
      <c r="C24" s="9" t="s">
        <v>98</v>
      </c>
      <c r="D24" s="9" t="s">
        <v>33</v>
      </c>
      <c r="E24" s="10" t="n">
        <v>46378</v>
      </c>
      <c r="F24" s="10" t="n">
        <v>46387</v>
      </c>
      <c r="G24" s="9" t="n">
        <v>4</v>
      </c>
      <c r="H24" s="6" t="s">
        <v>110</v>
      </c>
      <c r="I24" s="7" t="s">
        <v>111</v>
      </c>
      <c r="J24" s="6" t="s">
        <v>110</v>
      </c>
      <c r="K24" s="7" t="s">
        <v>112</v>
      </c>
      <c r="L24" s="7" t="s">
        <v>113</v>
      </c>
      <c r="M24" s="7"/>
      <c r="N24" s="8" t="str">
        <f aca="true">IF(TODAY()&gt;F24,"Concluida",IF(TODAY()&gt;=E24,"En curso","Pendiente"))</f>
        <v>Pendiente</v>
      </c>
    </row>
  </sheetData>
  <autoFilter ref="A4:N24"/>
  <mergeCells count="2">
    <mergeCell ref="A1:N1"/>
    <mergeCell ref="A2:N2"/>
  </mergeCells>
  <conditionalFormatting sqref="N5:N24">
    <cfRule type="expression" priority="2" aboveAverage="0" equalAverage="0" bottom="0" percent="0" rank="0" text="" dxfId="8">
      <formula>N5="En curso"</formula>
    </cfRule>
    <cfRule type="expression" priority="3" aboveAverage="0" equalAverage="0" bottom="0" percent="0" rank="0" text="" dxfId="9">
      <formula>N5="Concluida"</formula>
    </cfRule>
    <cfRule type="expression" priority="4" aboveAverage="0" equalAverage="0" bottom="0" percent="0" rank="0" text="" dxfId="10">
      <formula>N5="Pendiente"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114</v>
      </c>
    </row>
    <row r="2" customFormat="false" ht="15" hidden="false" customHeight="false" outlineLevel="0" collapsed="false">
      <c r="A2" s="12" t="s">
        <v>115</v>
      </c>
    </row>
    <row r="3" customFormat="false" ht="23.85" hidden="false" customHeight="false" outlineLevel="0" collapsed="false">
      <c r="A3" s="12" t="s">
        <v>116</v>
      </c>
    </row>
    <row r="4" customFormat="false" ht="15" hidden="false" customHeight="false" outlineLevel="0" collapsed="false">
      <c r="A4" s="12" t="s">
        <v>117</v>
      </c>
    </row>
    <row r="5" customFormat="false" ht="15" hidden="false" customHeight="false" outlineLevel="0" collapsed="false">
      <c r="A5" s="12" t="s">
        <v>118</v>
      </c>
    </row>
    <row r="6" customFormat="false" ht="23.85" hidden="false" customHeight="false" outlineLevel="0" collapsed="false">
      <c r="A6" s="12" t="s">
        <v>119</v>
      </c>
    </row>
    <row r="7" customFormat="false" ht="23.85" hidden="false" customHeight="false" outlineLevel="0" collapsed="false">
      <c r="A7" s="12" t="s">
        <v>120</v>
      </c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1" t="s">
        <v>121</v>
      </c>
    </row>
    <row r="10" customFormat="false" ht="15" hidden="false" customHeight="false" outlineLevel="0" collapsed="false">
      <c r="A10" s="13" t="s">
        <v>122</v>
      </c>
    </row>
    <row r="11" customFormat="false" ht="15" hidden="false" customHeight="false" outlineLevel="0" collapsed="false">
      <c r="A11" s="14" t="s">
        <v>123</v>
      </c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1" t="s">
        <v>124</v>
      </c>
    </row>
    <row r="14" customFormat="false" ht="15" hidden="false" customHeight="false" outlineLevel="0" collapsed="false">
      <c r="A14" s="12" t="s">
        <v>125</v>
      </c>
    </row>
    <row r="15" customFormat="false" ht="15" hidden="false" customHeight="false" outlineLevel="0" collapsed="false">
      <c r="A15" s="12" t="s">
        <v>126</v>
      </c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2026-10-15T00:10:26Z</dcterms:created>
  <dc:creator>openpyxl</dc:creator>
  <dc:description/>
  <dc:language>en-US</dc:language>
  <cp:lastModifiedBy/>
  <dcterms:modified xsi:type="dcterms:W3CDTF">2026-10-15T00:10:26Z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